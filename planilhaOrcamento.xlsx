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<sst xmlns="http://schemas.openxmlformats.org/spreadsheetml/2006/main" count="90" uniqueCount="75">
  <si>
    <t xml:space="preserve">    Planta Baixa</t>
  </si>
  <si>
    <t xml:space="preserve">Condominio </t>
  </si>
  <si>
    <t xml:space="preserve">do Sertão</t>
  </si>
  <si>
    <t xml:space="preserve">Tipo</t>
  </si>
  <si>
    <t xml:space="preserve">Tipo Dispositivo</t>
  </si>
  <si>
    <t xml:space="preserve">Descrição</t>
  </si>
  <si>
    <t xml:space="preserve">ID TCNP da Ata vigente</t>
  </si>
  <si>
    <t xml:space="preserve">Quantidade</t>
  </si>
  <si>
    <t xml:space="preserve">Marca</t>
  </si>
  <si>
    <t xml:space="preserve">Total </t>
  </si>
  <si>
    <t xml:space="preserve">Preço unitário</t>
  </si>
  <si>
    <t xml:space="preserve">Desconto</t>
  </si>
  <si>
    <t xml:space="preserve">Preço total</t>
  </si>
  <si>
    <t xml:space="preserve">Impressoras</t>
  </si>
  <si>
    <t xml:space="preserve">Impressora Multifuncional, Tipo De Unidade
Impressão: Jato De Tinta</t>
  </si>
  <si>
    <t xml:space="preserve">00394452000103-1-022160/2024-000002</t>
  </si>
  <si>
    <t xml:space="preserve">N/A</t>
  </si>
  <si>
    <t xml:space="preserve">Monitores</t>
  </si>
  <si>
    <t xml:space="preserve">Monitor 3green 24", FULL HD, 75Hz,
2Ms, HDMI, Led Ergonômico</t>
  </si>
  <si>
    <t xml:space="preserve"> 00394452000103-1-022160/2024-000012</t>
  </si>
  <si>
    <t xml:space="preserve">Computadores (c/ mouse e teclado)</t>
  </si>
  <si>
    <t xml:space="preserve">COMPUTADOR DO TIPO "DESKTOP"
acompanhado de mouse e teclado</t>
  </si>
  <si>
    <t xml:space="preserve">10728444000100-1-000010/2025-000001</t>
  </si>
  <si>
    <t xml:space="preserve">Mesas circulares de reunião</t>
  </si>
  <si>
    <t xml:space="preserve">mesa circular com base em estrutura metálica</t>
  </si>
  <si>
    <t xml:space="preserve">00509968000148-1-002508/2025-000001</t>
  </si>
  <si>
    <t xml:space="preserve">Mesas de trabalho em formato L</t>
  </si>
  <si>
    <t xml:space="preserve">mesa de trabalho em formato L, com tampo confecionado em paines de fibras</t>
  </si>
  <si>
    <t xml:space="preserve">Armários</t>
  </si>
  <si>
    <t xml:space="preserve">Armário alto fechado</t>
  </si>
  <si>
    <t xml:space="preserve">Cadeiras de trabalho</t>
  </si>
  <si>
    <t xml:space="preserve">Cadeira giratória operacional </t>
  </si>
  <si>
    <t xml:space="preserve">79831566000115-1-000028/2024-000001</t>
  </si>
  <si>
    <t xml:space="preserve">Projetores</t>
  </si>
  <si>
    <t xml:space="preserve">PROJETOR IMAGEM - PROJETOR TIPO 1</t>
  </si>
  <si>
    <t xml:space="preserve">83899526000182-1-000270/2024-000001</t>
  </si>
  <si>
    <t xml:space="preserve">Kits câmera fotográfica</t>
  </si>
  <si>
    <t xml:space="preserve">KIT CÂMERA
FOTOGRÁFICA COM 02
LENTES Caracteríscas
CÂMERA CANON</t>
  </si>
  <si>
    <t xml:space="preserve"> 04071106000137-1-000006/2025-000001</t>
  </si>
  <si>
    <t xml:space="preserve">CANON</t>
  </si>
  <si>
    <t xml:space="preserve">Microscópios</t>
  </si>
  <si>
    <t xml:space="preserve">Microscópio Biológico Acromático BTM 02</t>
  </si>
  <si>
    <t xml:space="preserve">00394544000185-1-002007/2025-000001</t>
  </si>
  <si>
    <t xml:space="preserve">CAT.6A</t>
  </si>
  <si>
    <t xml:space="preserve">Cabo de rede (metros)</t>
  </si>
  <si>
    <t xml:space="preserve">CABO UTP CAT. 6 </t>
  </si>
  <si>
    <t xml:space="preserve">00530352000159-1-000242/2024-000004</t>
  </si>
  <si>
    <t xml:space="preserve">ER8411</t>
  </si>
  <si>
    <t xml:space="preserve">Gateway</t>
  </si>
  <si>
    <t xml:space="preserve">Módulo de
Segurança - tipo III</t>
  </si>
  <si>
    <t xml:space="preserve">01264142000129-1-000012/2023-000002</t>
  </si>
  <si>
    <t xml:space="preserve">Quantum/Check
Point</t>
  </si>
  <si>
    <t xml:space="preserve">SG3452XP
</t>
  </si>
  <si>
    <t xml:space="preserve">Switch 48 portas</t>
  </si>
  <si>
    <t xml:space="preserve">SWITCH, QUANTIDADE
PORTAS 48 UN, TIPO PORTAS
SFP + 8GBPS SX</t>
  </si>
  <si>
    <t xml:space="preserve">15461510000133-1-000003/2023-000001</t>
  </si>
  <si>
    <t xml:space="preserve">ALCATEL -
LUCENT
</t>
  </si>
  <si>
    <t xml:space="preserve">SG2008P</t>
  </si>
  <si>
    <t xml:space="preserve">Switch 8 portas</t>
  </si>
  <si>
    <t xml:space="preserve">SWITCH, TIPO PORTAS
PORTA ETHERNET 1000 SFP</t>
  </si>
  <si>
    <t xml:space="preserve">ALCATEL -
LUCENT</t>
  </si>
  <si>
    <t xml:space="preserve">Rack 12u</t>
  </si>
  <si>
    <t xml:space="preserve">Mini Rack de parede
12U </t>
  </si>
  <si>
    <t xml:space="preserve">10830301000104-1-000024/2025-000007</t>
  </si>
  <si>
    <t xml:space="preserve">INTELBRAS</t>
  </si>
  <si>
    <t xml:space="preserve">Rack 16u</t>
  </si>
  <si>
    <t xml:space="preserve">Mini Rack de parede 16U</t>
  </si>
  <si>
    <t xml:space="preserve">Ar-Condicionado</t>
  </si>
  <si>
    <t xml:space="preserve">AR CONDICIONADO, SPLIT
INVERTER, 12.000</t>
  </si>
  <si>
    <t xml:space="preserve">00394429000100-1-002940/2024-000001</t>
  </si>
  <si>
    <t xml:space="preserve">AGRATTO/
S. I. NEO
ICS12F-021</t>
  </si>
  <si>
    <t xml:space="preserve">Servidor</t>
  </si>
  <si>
    <t xml:space="preserve">Servidor NAS 4 baias</t>
  </si>
  <si>
    <t xml:space="preserve">76206465000165-1-000046/2025-000002</t>
  </si>
  <si>
    <t xml:space="preserve">Total do condominio: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</si>
</sst>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[$R$-416]\ * #,##0.00_-;\-[$R$-416]\ * #,##0.00_-;_-[$R$-416]\ * \-??_-;_-@_-"/>
    <numFmt numFmtId="166" formatCode="&quot;R$ &quot;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0"/>
      <charset val="1"/>
    </font>
    <font>
      <sz val="11"/>
      <color theme="9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sz val="11"/>
      <color theme="1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"/>
        <bgColor rgb="FFCC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181080</xdr:rowOff>
    </xdr:from>
    <xdr:to>
      <xdr:col>0</xdr:col>
      <xdr:colOff>1275840</xdr:colOff>
      <xdr:row>0</xdr:row>
      <xdr:rowOff>790200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0" y="181080"/>
          <a:ext cx="127584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499680</xdr:colOff>
      <xdr:row>14</xdr:row>
      <xdr:rowOff>0</xdr:rowOff>
    </xdr:from>
    <xdr:to>
      <xdr:col>0</xdr:col>
      <xdr:colOff>1004760</xdr:colOff>
      <xdr:row>14</xdr:row>
      <xdr:rowOff>342720</xdr:rowOff>
    </xdr:to>
    <xdr:pic>
      <xdr:nvPicPr>
        <xdr:cNvPr id="1" name="Imagem 2" descr=""/>
        <xdr:cNvPicPr/>
      </xdr:nvPicPr>
      <xdr:blipFill>
        <a:blip r:embed="rId2"/>
        <a:srcRect l="0" t="0" r="0" b="8540"/>
        <a:stretch/>
      </xdr:blipFill>
      <xdr:spPr>
        <a:xfrm>
          <a:off x="499680" y="5235480"/>
          <a:ext cx="505080" cy="34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451440</xdr:colOff>
      <xdr:row>11</xdr:row>
      <xdr:rowOff>162360</xdr:rowOff>
    </xdr:from>
    <xdr:to>
      <xdr:col>0</xdr:col>
      <xdr:colOff>965160</xdr:colOff>
      <xdr:row>13</xdr:row>
      <xdr:rowOff>69840</xdr:rowOff>
    </xdr:to>
    <xdr:pic>
      <xdr:nvPicPr>
        <xdr:cNvPr id="2" name="Imagem 3" descr=""/>
        <xdr:cNvPicPr/>
      </xdr:nvPicPr>
      <xdr:blipFill>
        <a:blip r:embed="rId3"/>
        <a:stretch/>
      </xdr:blipFill>
      <xdr:spPr>
        <a:xfrm>
          <a:off x="451440" y="4115880"/>
          <a:ext cx="51372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469080</xdr:colOff>
      <xdr:row>14</xdr:row>
      <xdr:rowOff>254880</xdr:rowOff>
    </xdr:from>
    <xdr:to>
      <xdr:col>0</xdr:col>
      <xdr:colOff>964080</xdr:colOff>
      <xdr:row>16</xdr:row>
      <xdr:rowOff>58680</xdr:rowOff>
    </xdr:to>
    <xdr:pic>
      <xdr:nvPicPr>
        <xdr:cNvPr id="3" name="Imagem 4" descr=""/>
        <xdr:cNvPicPr/>
      </xdr:nvPicPr>
      <xdr:blipFill>
        <a:blip r:embed="rId4"/>
        <a:stretch/>
      </xdr:blipFill>
      <xdr:spPr>
        <a:xfrm>
          <a:off x="469080" y="5490360"/>
          <a:ext cx="495000" cy="494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448920</xdr:colOff>
      <xdr:row>13</xdr:row>
      <xdr:rowOff>114480</xdr:rowOff>
    </xdr:from>
    <xdr:to>
      <xdr:col>0</xdr:col>
      <xdr:colOff>1067760</xdr:colOff>
      <xdr:row>13</xdr:row>
      <xdr:rowOff>380880</xdr:rowOff>
    </xdr:to>
    <xdr:pic>
      <xdr:nvPicPr>
        <xdr:cNvPr id="4" name="Imagem 5" descr=""/>
        <xdr:cNvPicPr/>
      </xdr:nvPicPr>
      <xdr:blipFill>
        <a:blip r:embed="rId5"/>
        <a:stretch/>
      </xdr:blipFill>
      <xdr:spPr>
        <a:xfrm>
          <a:off x="448920" y="4673880"/>
          <a:ext cx="618840" cy="266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3" activeCellId="0" sqref="Q1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13.57"/>
    <col collapsed="false" customWidth="true" hidden="false" outlineLevel="0" max="3" min="3" style="0" width="32.15"/>
    <col collapsed="false" customWidth="true" hidden="false" outlineLevel="0" max="5" min="4" style="0" width="36.57"/>
    <col collapsed="false" customWidth="true" hidden="false" outlineLevel="0" max="6" min="6" style="0" width="11.14"/>
    <col collapsed="false" customWidth="true" hidden="false" outlineLevel="0" max="9" min="9" style="0" width="13.29"/>
    <col collapsed="false" customWidth="true" hidden="false" outlineLevel="0" max="11" min="11" style="0" width="15"/>
  </cols>
  <sheetData>
    <row r="1" customFormat="false" ht="65.25" hidden="false" customHeight="true" outlineLevel="0" collapsed="false">
      <c r="C1" s="1" t="s">
        <v>0</v>
      </c>
      <c r="D1" s="1" t="s">
        <v>1</v>
      </c>
      <c r="E1" s="1" t="s">
        <v>2</v>
      </c>
      <c r="I1" s="2"/>
    </row>
    <row r="2" customFormat="false" ht="15" hidden="false" customHeight="false" outlineLevel="0" collapsed="false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5" t="s">
        <v>10</v>
      </c>
      <c r="J2" s="4" t="s">
        <v>11</v>
      </c>
      <c r="K2" s="4" t="s">
        <v>12</v>
      </c>
    </row>
    <row r="3" customFormat="false" ht="23.85" hidden="false" customHeight="false" outlineLevel="0" collapsed="false">
      <c r="A3" s="6"/>
      <c r="B3" s="7"/>
      <c r="C3" s="7" t="s">
        <v>13</v>
      </c>
      <c r="D3" s="8" t="s">
        <v>14</v>
      </c>
      <c r="E3" s="9" t="s">
        <v>15</v>
      </c>
      <c r="F3" s="7" t="n">
        <v>1</v>
      </c>
      <c r="G3" s="7" t="s">
        <v>16</v>
      </c>
      <c r="H3" s="7" t="n">
        <v>1</v>
      </c>
      <c r="I3" s="10" t="n">
        <v>1800</v>
      </c>
      <c r="J3" s="11" t="n">
        <v>0</v>
      </c>
      <c r="K3" s="12" t="n">
        <f aca="false">I3*H3</f>
        <v>1800</v>
      </c>
      <c r="L3" s="13"/>
      <c r="M3" s="13"/>
    </row>
    <row r="4" customFormat="false" ht="23.85" hidden="false" customHeight="false" outlineLevel="0" collapsed="false">
      <c r="A4" s="6"/>
      <c r="B4" s="7"/>
      <c r="C4" s="7" t="s">
        <v>17</v>
      </c>
      <c r="D4" s="8" t="s">
        <v>18</v>
      </c>
      <c r="E4" s="9" t="s">
        <v>19</v>
      </c>
      <c r="F4" s="7" t="n">
        <v>10</v>
      </c>
      <c r="G4" s="7" t="s">
        <v>16</v>
      </c>
      <c r="H4" s="7" t="n">
        <v>10</v>
      </c>
      <c r="I4" s="10" t="n">
        <v>705</v>
      </c>
      <c r="J4" s="11" t="n">
        <v>0</v>
      </c>
      <c r="K4" s="12" t="n">
        <f aca="false">I4*H4</f>
        <v>7050</v>
      </c>
    </row>
    <row r="5" customFormat="false" ht="23.85" hidden="false" customHeight="false" outlineLevel="0" collapsed="false">
      <c r="A5" s="6"/>
      <c r="B5" s="7"/>
      <c r="C5" s="7" t="s">
        <v>20</v>
      </c>
      <c r="D5" s="8" t="s">
        <v>21</v>
      </c>
      <c r="E5" s="9" t="s">
        <v>22</v>
      </c>
      <c r="F5" s="7" t="n">
        <v>10</v>
      </c>
      <c r="G5" s="7" t="s">
        <v>16</v>
      </c>
      <c r="H5" s="7" t="n">
        <v>10</v>
      </c>
      <c r="I5" s="10" t="n">
        <v>6230</v>
      </c>
      <c r="J5" s="11" t="n">
        <v>0</v>
      </c>
      <c r="K5" s="12" t="n">
        <f aca="false">I5*H5</f>
        <v>62300</v>
      </c>
    </row>
    <row r="6" customFormat="false" ht="23.85" hidden="false" customHeight="false" outlineLevel="0" collapsed="false">
      <c r="A6" s="6"/>
      <c r="B6" s="7"/>
      <c r="C6" s="7" t="s">
        <v>23</v>
      </c>
      <c r="D6" s="8" t="s">
        <v>24</v>
      </c>
      <c r="E6" s="9" t="s">
        <v>25</v>
      </c>
      <c r="F6" s="7" t="n">
        <v>5</v>
      </c>
      <c r="G6" s="7" t="s">
        <v>16</v>
      </c>
      <c r="H6" s="7" t="n">
        <v>5</v>
      </c>
      <c r="I6" s="10" t="n">
        <v>624</v>
      </c>
      <c r="J6" s="11" t="n">
        <v>0</v>
      </c>
      <c r="K6" s="12" t="n">
        <f aca="false">I6*H6</f>
        <v>3120</v>
      </c>
      <c r="L6" s="14"/>
    </row>
    <row r="7" customFormat="false" ht="23.85" hidden="false" customHeight="false" outlineLevel="0" collapsed="false">
      <c r="A7" s="6"/>
      <c r="B7" s="7"/>
      <c r="C7" s="7" t="s">
        <v>26</v>
      </c>
      <c r="D7" s="9" t="s">
        <v>27</v>
      </c>
      <c r="E7" s="9" t="s">
        <v>25</v>
      </c>
      <c r="F7" s="7" t="n">
        <v>5</v>
      </c>
      <c r="G7" s="7" t="s">
        <v>16</v>
      </c>
      <c r="H7" s="7" t="n">
        <v>5</v>
      </c>
      <c r="I7" s="10" t="n">
        <v>1005</v>
      </c>
      <c r="J7" s="11" t="n">
        <v>0</v>
      </c>
      <c r="K7" s="12" t="n">
        <f aca="false">I7*H7</f>
        <v>5025</v>
      </c>
      <c r="L7" s="14"/>
    </row>
    <row r="8" customFormat="false" ht="23.85" hidden="false" customHeight="false" outlineLevel="0" collapsed="false">
      <c r="A8" s="6"/>
      <c r="B8" s="7"/>
      <c r="C8" s="7" t="s">
        <v>28</v>
      </c>
      <c r="D8" s="15" t="s">
        <v>29</v>
      </c>
      <c r="E8" s="9" t="s">
        <v>25</v>
      </c>
      <c r="F8" s="7" t="n">
        <v>5</v>
      </c>
      <c r="G8" s="7" t="s">
        <v>16</v>
      </c>
      <c r="H8" s="7" t="n">
        <v>5</v>
      </c>
      <c r="I8" s="10" t="n">
        <v>1290</v>
      </c>
      <c r="J8" s="11" t="n">
        <v>0</v>
      </c>
      <c r="K8" s="12" t="n">
        <f aca="false">I8*H8</f>
        <v>6450</v>
      </c>
      <c r="L8" s="14"/>
    </row>
    <row r="9" customFormat="false" ht="23.85" hidden="false" customHeight="false" outlineLevel="0" collapsed="false">
      <c r="A9" s="6"/>
      <c r="B9" s="7"/>
      <c r="C9" s="7" t="s">
        <v>30</v>
      </c>
      <c r="D9" s="15" t="s">
        <v>31</v>
      </c>
      <c r="E9" s="9" t="s">
        <v>32</v>
      </c>
      <c r="F9" s="7" t="n">
        <v>25</v>
      </c>
      <c r="G9" s="7" t="s">
        <v>16</v>
      </c>
      <c r="H9" s="7" t="n">
        <v>25</v>
      </c>
      <c r="I9" s="10" t="n">
        <v>798</v>
      </c>
      <c r="J9" s="11" t="n">
        <v>0</v>
      </c>
      <c r="K9" s="12" t="n">
        <f aca="false">I9*H9</f>
        <v>19950</v>
      </c>
      <c r="L9" s="14"/>
    </row>
    <row r="10" customFormat="false" ht="23.85" hidden="false" customHeight="false" outlineLevel="0" collapsed="false">
      <c r="A10" s="6"/>
      <c r="B10" s="7"/>
      <c r="C10" s="7" t="s">
        <v>33</v>
      </c>
      <c r="D10" s="15" t="s">
        <v>34</v>
      </c>
      <c r="E10" s="9" t="s">
        <v>35</v>
      </c>
      <c r="F10" s="7" t="n">
        <v>1</v>
      </c>
      <c r="G10" s="7" t="s">
        <v>16</v>
      </c>
      <c r="H10" s="7" t="n">
        <v>1</v>
      </c>
      <c r="I10" s="10" t="n">
        <v>4697.39</v>
      </c>
      <c r="J10" s="11" t="n">
        <v>0</v>
      </c>
      <c r="K10" s="12" t="n">
        <f aca="false">I10*H10</f>
        <v>4697.39</v>
      </c>
    </row>
    <row r="11" customFormat="false" ht="40.25" hidden="false" customHeight="false" outlineLevel="0" collapsed="false">
      <c r="A11" s="6"/>
      <c r="B11" s="7"/>
      <c r="C11" s="7" t="s">
        <v>36</v>
      </c>
      <c r="D11" s="8" t="s">
        <v>37</v>
      </c>
      <c r="E11" s="9" t="s">
        <v>38</v>
      </c>
      <c r="F11" s="7" t="n">
        <v>5</v>
      </c>
      <c r="G11" s="15" t="s">
        <v>39</v>
      </c>
      <c r="H11" s="7" t="n">
        <v>5</v>
      </c>
      <c r="I11" s="10" t="n">
        <v>5200</v>
      </c>
      <c r="J11" s="11" t="n">
        <v>0</v>
      </c>
      <c r="K11" s="12" t="n">
        <f aca="false">I11*H11</f>
        <v>26000</v>
      </c>
    </row>
    <row r="12" customFormat="false" ht="23.85" hidden="false" customHeight="false" outlineLevel="0" collapsed="false">
      <c r="A12" s="6"/>
      <c r="B12" s="7"/>
      <c r="C12" s="7" t="s">
        <v>40</v>
      </c>
      <c r="D12" s="15" t="s">
        <v>41</v>
      </c>
      <c r="E12" s="9" t="s">
        <v>42</v>
      </c>
      <c r="F12" s="7" t="n">
        <v>5</v>
      </c>
      <c r="G12" s="7" t="s">
        <v>16</v>
      </c>
      <c r="H12" s="7" t="n">
        <v>5</v>
      </c>
      <c r="I12" s="10" t="n">
        <v>1600</v>
      </c>
      <c r="J12" s="11" t="n">
        <v>0</v>
      </c>
      <c r="K12" s="12" t="n">
        <f aca="false">I12*H12</f>
        <v>8000</v>
      </c>
    </row>
    <row r="13" customFormat="false" ht="23.85" hidden="false" customHeight="false" outlineLevel="0" collapsed="false">
      <c r="A13" s="6"/>
      <c r="B13" s="7" t="s">
        <v>43</v>
      </c>
      <c r="C13" s="7" t="s">
        <v>44</v>
      </c>
      <c r="D13" s="15" t="s">
        <v>45</v>
      </c>
      <c r="E13" s="9" t="s">
        <v>46</v>
      </c>
      <c r="F13" s="7" t="n">
        <v>50</v>
      </c>
      <c r="G13" s="7" t="s">
        <v>16</v>
      </c>
      <c r="H13" s="7" t="n">
        <v>50</v>
      </c>
      <c r="I13" s="10" t="n">
        <v>3</v>
      </c>
      <c r="J13" s="11" t="n">
        <v>0</v>
      </c>
      <c r="K13" s="12" t="n">
        <f aca="false">I13*H13</f>
        <v>150</v>
      </c>
      <c r="L13" s="14"/>
    </row>
    <row r="14" customFormat="false" ht="53.25" hidden="false" customHeight="true" outlineLevel="0" collapsed="false">
      <c r="A14" s="6"/>
      <c r="B14" s="7" t="s">
        <v>47</v>
      </c>
      <c r="C14" s="7" t="s">
        <v>48</v>
      </c>
      <c r="D14" s="8" t="s">
        <v>49</v>
      </c>
      <c r="E14" s="9" t="s">
        <v>50</v>
      </c>
      <c r="F14" s="7" t="n">
        <v>1</v>
      </c>
      <c r="G14" s="8" t="s">
        <v>51</v>
      </c>
      <c r="H14" s="7" t="n">
        <v>1</v>
      </c>
      <c r="I14" s="10" t="n">
        <v>34575</v>
      </c>
      <c r="J14" s="11" t="n">
        <v>0</v>
      </c>
      <c r="K14" s="12" t="n">
        <f aca="false">I14*H14</f>
        <v>34575</v>
      </c>
      <c r="L14" s="14"/>
    </row>
    <row r="15" customFormat="false" ht="30.55" hidden="false" customHeight="false" outlineLevel="0" collapsed="false">
      <c r="A15" s="6"/>
      <c r="B15" s="9" t="s">
        <v>52</v>
      </c>
      <c r="C15" s="7" t="s">
        <v>53</v>
      </c>
      <c r="D15" s="8" t="s">
        <v>54</v>
      </c>
      <c r="E15" s="9" t="s">
        <v>55</v>
      </c>
      <c r="F15" s="7" t="n">
        <v>1</v>
      </c>
      <c r="G15" s="8" t="s">
        <v>56</v>
      </c>
      <c r="H15" s="7" t="n">
        <v>1</v>
      </c>
      <c r="I15" s="10" t="n">
        <v>36354.62</v>
      </c>
      <c r="J15" s="11" t="n">
        <v>0</v>
      </c>
      <c r="K15" s="12" t="n">
        <f aca="false">I15*H15</f>
        <v>36354.62</v>
      </c>
      <c r="L15" s="14"/>
    </row>
    <row r="16" customFormat="false" ht="23.85" hidden="false" customHeight="false" outlineLevel="0" collapsed="false">
      <c r="A16" s="6"/>
      <c r="B16" s="7" t="s">
        <v>57</v>
      </c>
      <c r="C16" s="7" t="s">
        <v>58</v>
      </c>
      <c r="D16" s="8" t="s">
        <v>59</v>
      </c>
      <c r="E16" s="9" t="s">
        <v>55</v>
      </c>
      <c r="F16" s="7" t="n">
        <v>5</v>
      </c>
      <c r="G16" s="8" t="s">
        <v>60</v>
      </c>
      <c r="H16" s="7" t="n">
        <v>5</v>
      </c>
      <c r="I16" s="10" t="n">
        <v>908.26</v>
      </c>
      <c r="J16" s="11" t="n">
        <v>0</v>
      </c>
      <c r="K16" s="12" t="n">
        <f aca="false">I16*H16</f>
        <v>4541.3</v>
      </c>
      <c r="L16" s="14"/>
    </row>
    <row r="17" customFormat="false" ht="23.85" hidden="false" customHeight="false" outlineLevel="0" collapsed="false">
      <c r="A17" s="6"/>
      <c r="B17" s="7"/>
      <c r="C17" s="7" t="s">
        <v>61</v>
      </c>
      <c r="D17" s="8" t="s">
        <v>62</v>
      </c>
      <c r="E17" s="9" t="s">
        <v>63</v>
      </c>
      <c r="F17" s="7" t="n">
        <v>5</v>
      </c>
      <c r="G17" s="15" t="s">
        <v>64</v>
      </c>
      <c r="H17" s="7" t="n">
        <v>5</v>
      </c>
      <c r="I17" s="10" t="n">
        <v>945.06</v>
      </c>
      <c r="J17" s="11" t="n">
        <v>0</v>
      </c>
      <c r="K17" s="12" t="n">
        <f aca="false">I17*H17</f>
        <v>4725.3</v>
      </c>
      <c r="L17" s="14"/>
    </row>
    <row r="18" customFormat="false" ht="23.85" hidden="false" customHeight="false" outlineLevel="0" collapsed="false">
      <c r="A18" s="6"/>
      <c r="B18" s="7"/>
      <c r="C18" s="7" t="s">
        <v>65</v>
      </c>
      <c r="D18" s="15" t="s">
        <v>66</v>
      </c>
      <c r="E18" s="9" t="s">
        <v>63</v>
      </c>
      <c r="F18" s="7" t="n">
        <v>1</v>
      </c>
      <c r="G18" s="15" t="s">
        <v>64</v>
      </c>
      <c r="H18" s="7" t="n">
        <v>1</v>
      </c>
      <c r="I18" s="10" t="n">
        <v>985.85</v>
      </c>
      <c r="J18" s="11" t="n">
        <v>0</v>
      </c>
      <c r="K18" s="12" t="n">
        <f aca="false">I18*H18</f>
        <v>985.85</v>
      </c>
      <c r="L18" s="14"/>
    </row>
    <row r="19" customFormat="false" ht="40.25" hidden="false" customHeight="false" outlineLevel="0" collapsed="false">
      <c r="A19" s="6"/>
      <c r="B19" s="7"/>
      <c r="C19" s="7" t="s">
        <v>67</v>
      </c>
      <c r="D19" s="8" t="s">
        <v>68</v>
      </c>
      <c r="E19" s="9" t="s">
        <v>69</v>
      </c>
      <c r="F19" s="7" t="n">
        <v>5</v>
      </c>
      <c r="G19" s="8" t="s">
        <v>70</v>
      </c>
      <c r="H19" s="7" t="n">
        <v>5</v>
      </c>
      <c r="I19" s="10" t="n">
        <v>1900</v>
      </c>
      <c r="J19" s="11" t="n">
        <v>0</v>
      </c>
      <c r="K19" s="12" t="n">
        <f aca="false">I19*H19</f>
        <v>9500</v>
      </c>
    </row>
    <row r="20" customFormat="false" ht="23.85" hidden="false" customHeight="false" outlineLevel="0" collapsed="false">
      <c r="A20" s="6"/>
      <c r="B20" s="7"/>
      <c r="C20" s="7" t="s">
        <v>71</v>
      </c>
      <c r="D20" s="7" t="s">
        <v>72</v>
      </c>
      <c r="E20" s="9" t="s">
        <v>73</v>
      </c>
      <c r="F20" s="7" t="n">
        <v>1</v>
      </c>
      <c r="G20" s="7" t="s">
        <v>16</v>
      </c>
      <c r="H20" s="7" t="n">
        <v>1</v>
      </c>
      <c r="I20" s="11" t="n">
        <v>4360</v>
      </c>
      <c r="J20" s="11" t="n">
        <v>0</v>
      </c>
      <c r="K20" s="12" t="n">
        <f aca="false">I20*H20</f>
        <v>4360</v>
      </c>
      <c r="L20" s="16"/>
      <c r="M20" s="16"/>
    </row>
    <row r="21" customFormat="false" ht="15.75" hidden="false" customHeight="false" outlineLevel="0" collapsed="false">
      <c r="A21" s="17" t="s">
        <v>74</v>
      </c>
      <c r="C21" s="18" t="n">
        <f aca="false">SUM(K3:K20)</f>
        <v>239584.46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2026-02-03T11:56:57Z</dcterms:created>
  <dc:creator/>
  <dc:description/>
  <dc:language>pt-BR</dc:language>
  <cp:lastModifiedBy/>
  <dcterms:modified xsi:type="dcterms:W3CDTF">2026-02-03T10:45:42Z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